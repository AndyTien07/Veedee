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yt\OneDrive\Documents\Sus Scripts\Sus Analysis\Utilities\"/>
    </mc:Choice>
  </mc:AlternateContent>
  <xr:revisionPtr revIDLastSave="0" documentId="13_ncr:1_{E5B82D53-D002-4467-9D3C-3AFADC8130D8}" xr6:coauthVersionLast="47" xr6:coauthVersionMax="47" xr10:uidLastSave="{00000000-0000-0000-0000-000000000000}"/>
  <bookViews>
    <workbookView xWindow="-83" yWindow="-83" windowWidth="23205" windowHeight="1384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B12" i="1"/>
  <c r="C9" i="1"/>
  <c r="C3" i="1"/>
  <c r="C6" i="1"/>
  <c r="B6" i="1"/>
</calcChain>
</file>

<file path=xl/sharedStrings.xml><?xml version="1.0" encoding="utf-8"?>
<sst xmlns="http://schemas.openxmlformats.org/spreadsheetml/2006/main" count="19" uniqueCount="16">
  <si>
    <t>Spring rate conversion</t>
  </si>
  <si>
    <t>Rate</t>
  </si>
  <si>
    <t>Conversion Factor</t>
  </si>
  <si>
    <t>Result</t>
  </si>
  <si>
    <t>Gradient Conversion</t>
  </si>
  <si>
    <t>Spring Rate</t>
  </si>
  <si>
    <t>Pitch</t>
  </si>
  <si>
    <t>Roll</t>
  </si>
  <si>
    <t xml:space="preserve">lb to kg </t>
  </si>
  <si>
    <t>lb</t>
  </si>
  <si>
    <t>Corner weight copy paste</t>
  </si>
  <si>
    <t>FR_corner_weight</t>
  </si>
  <si>
    <t>FL_corner_weight</t>
  </si>
  <si>
    <t>RR_corner_weight</t>
  </si>
  <si>
    <t>RL_corner_weight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</si>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</sst>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/>
    <xf numFmtId="0" fontId="0" fillId="0" borderId="0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205" zoomScaleNormal="205" workbookViewId="0">
      <selection activeCell="A6" sqref="A6"/>
    </sheetView>
  </sheetViews>
  <sheetFormatPr defaultRowHeight="14.25" x14ac:dyDescent="0.45"/>
  <cols>
    <col min="1" max="1" width="23.46484375" customWidth="1"/>
    <col min="2" max="2" width="23.1328125" customWidth="1"/>
    <col min="3" max="3" width="15.59765625" customWidth="1"/>
  </cols>
  <sheetData>
    <row r="1" spans="1:6" x14ac:dyDescent="0.45">
      <c r="A1" s="1" t="s">
        <v>0</v>
      </c>
      <c r="B1" s="2"/>
      <c r="C1" s="3"/>
      <c r="D1" s="12"/>
    </row>
    <row r="2" spans="1:6" x14ac:dyDescent="0.45">
      <c r="A2" s="4" t="s">
        <v>1</v>
      </c>
      <c r="B2" s="5" t="s">
        <v>2</v>
      </c>
      <c r="C2" s="6" t="s">
        <v>3</v>
      </c>
    </row>
    <row r="3" spans="1:6" ht="14.65" thickBot="1" x14ac:dyDescent="0.5">
      <c r="A3" s="7">
        <v>250</v>
      </c>
      <c r="B3" s="8">
        <v>175.1</v>
      </c>
      <c r="C3" s="9">
        <f>A3*B3</f>
        <v>43775</v>
      </c>
    </row>
    <row r="4" spans="1:6" x14ac:dyDescent="0.45">
      <c r="A4" s="1" t="s">
        <v>4</v>
      </c>
      <c r="B4" s="2"/>
      <c r="C4" s="3"/>
    </row>
    <row r="5" spans="1:6" x14ac:dyDescent="0.45">
      <c r="A5" s="4" t="s">
        <v>5</v>
      </c>
      <c r="B5" s="5" t="s">
        <v>6</v>
      </c>
      <c r="C5" s="6" t="s">
        <v>7</v>
      </c>
    </row>
    <row r="6" spans="1:6" ht="14.65" thickBot="1" x14ac:dyDescent="0.5">
      <c r="A6" s="7">
        <v>300</v>
      </c>
      <c r="B6" s="8">
        <f>(300/A6)*0.3</f>
        <v>0.3</v>
      </c>
      <c r="C6" s="9">
        <f>(300/A6)*0.33</f>
        <v>0.33</v>
      </c>
    </row>
    <row r="7" spans="1:6" x14ac:dyDescent="0.45">
      <c r="A7" s="1" t="s">
        <v>8</v>
      </c>
      <c r="B7" s="2"/>
      <c r="C7" s="3"/>
    </row>
    <row r="8" spans="1:6" x14ac:dyDescent="0.45">
      <c r="A8" s="4" t="s">
        <v>9</v>
      </c>
      <c r="B8" s="5" t="s">
        <v>2</v>
      </c>
      <c r="C8" s="6" t="s">
        <v>3</v>
      </c>
    </row>
    <row r="9" spans="1:6" ht="14.65" thickBot="1" x14ac:dyDescent="0.5">
      <c r="A9" s="11">
        <v>539</v>
      </c>
      <c r="B9" s="5">
        <v>2.2050000000000001</v>
      </c>
      <c r="C9" s="6">
        <f>A9/B9</f>
        <v>244.44444444444443</v>
      </c>
    </row>
    <row r="10" spans="1:6" x14ac:dyDescent="0.45">
      <c r="A10" s="14" t="s">
        <v>10</v>
      </c>
      <c r="B10" s="15"/>
      <c r="C10" s="15"/>
      <c r="D10" s="15"/>
      <c r="E10" s="15"/>
      <c r="F10" s="16"/>
    </row>
    <row r="11" spans="1:6" x14ac:dyDescent="0.45">
      <c r="A11" s="17"/>
      <c r="B11" s="13" t="s">
        <v>12</v>
      </c>
      <c r="C11" s="13" t="s">
        <v>11</v>
      </c>
      <c r="D11" s="13" t="s">
        <v>14</v>
      </c>
      <c r="E11" s="13" t="s">
        <v>13</v>
      </c>
      <c r="F11" s="18"/>
    </row>
    <row r="12" spans="1:6" x14ac:dyDescent="0.45">
      <c r="A12" s="17" t="s">
        <v>15</v>
      </c>
      <c r="B12" s="13">
        <f>B13/($B$9)</f>
        <v>62.585034013605437</v>
      </c>
      <c r="C12" s="13">
        <f>C13/($B$9)</f>
        <v>63.492063492063487</v>
      </c>
      <c r="D12" s="13">
        <f>D13/($B$9)</f>
        <v>59.410430839002267</v>
      </c>
      <c r="E12" s="13">
        <f>E13/($B$9)</f>
        <v>58.956916099773238</v>
      </c>
      <c r="F12" s="18"/>
    </row>
    <row r="13" spans="1:6" ht="14.65" thickBot="1" x14ac:dyDescent="0.5">
      <c r="A13" s="19" t="s">
        <v>9</v>
      </c>
      <c r="B13" s="20">
        <v>138</v>
      </c>
      <c r="C13" s="20">
        <v>140</v>
      </c>
      <c r="D13" s="20">
        <v>131</v>
      </c>
      <c r="E13" s="20">
        <v>130</v>
      </c>
      <c r="F13" s="21"/>
    </row>
    <row r="15" spans="1:6" x14ac:dyDescent="0.45">
      <c r="A15" s="10"/>
      <c r="B15" s="10"/>
      <c r="C15" s="10"/>
      <c r="D15" s="10"/>
    </row>
    <row r="16" spans="1:6" x14ac:dyDescent="0.45">
      <c r="A16" s="10"/>
      <c r="B16" s="10"/>
      <c r="C16" s="10"/>
      <c r="D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Tien</dc:creator>
  <cp:lastModifiedBy>Andy Tien</cp:lastModifiedBy>
  <dcterms:created xsi:type="dcterms:W3CDTF">2015-06-05T18:17:20Z</dcterms:created>
  <dcterms:modified xsi:type="dcterms:W3CDTF">2026-06-29T06:56:41Z</dcterms:modified>
</cp:coreProperties>
</file>